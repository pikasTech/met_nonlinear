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work\met_nonlinear\"/>
    </mc:Choice>
  </mc:AlternateContent>
  <xr:revisionPtr revIDLastSave="0" documentId="13_ncr:1_{00ACBE01-8FAD-41A9-8330-2401F369716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C7" i="1"/>
  <c r="C6" i="1"/>
  <c r="C5" i="1"/>
  <c r="C4" i="1"/>
  <c r="C3" i="1"/>
  <c r="C2" i="1"/>
  <c r="E2" i="1" s="1"/>
  <c r="D7" i="1"/>
  <c r="D6" i="1"/>
  <c r="D5" i="1"/>
  <c r="D4" i="1"/>
  <c r="D2" i="1"/>
  <c r="E4" i="1"/>
  <c r="E3" i="1" l="1"/>
  <c r="E7" i="1"/>
  <c r="E6" i="1"/>
  <c r="E5" i="1"/>
  <c r="E8" i="1"/>
  <c r="F11" i="1" s="1"/>
</calcChain>
</file>

<file path=xl/sharedStrings.xml><?xml version="1.0" encoding="utf-8"?>
<sst xmlns="http://schemas.openxmlformats.org/spreadsheetml/2006/main" count="12" uniqueCount="12">
  <si>
    <t>Vpp(V)</t>
    <phoneticPr fontId="1" type="noConversion"/>
  </si>
  <si>
    <t>Freq(Hz)</t>
    <phoneticPr fontId="1" type="noConversion"/>
  </si>
  <si>
    <t>震级系数</t>
    <phoneticPr fontId="1" type="noConversion"/>
  </si>
  <si>
    <t>Omega</t>
    <phoneticPr fontId="1" type="noConversion"/>
  </si>
  <si>
    <t>灵敏度(V/m*s)</t>
    <phoneticPr fontId="1" type="noConversion"/>
  </si>
  <si>
    <t>速度(mm/s)</t>
    <phoneticPr fontId="1" type="noConversion"/>
  </si>
  <si>
    <t>加速度(mm/s^2)</t>
    <phoneticPr fontId="1" type="noConversion"/>
  </si>
  <si>
    <t>加速度/震级系数</t>
    <phoneticPr fontId="1" type="noConversion"/>
  </si>
  <si>
    <t>求和</t>
  </si>
  <si>
    <t>平均值</t>
    <phoneticPr fontId="1" type="noConversion"/>
  </si>
  <si>
    <t>汇总</t>
    <phoneticPr fontId="1" type="noConversion"/>
  </si>
  <si>
    <t>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</si>
</sst>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75" zoomScaleNormal="175" workbookViewId="0">
      <selection activeCell="D3" sqref="D3"/>
    </sheetView>
  </sheetViews>
  <sheetFormatPr defaultRowHeight="14.15" x14ac:dyDescent="0.35"/>
  <cols>
    <col min="4" max="4" width="15.35546875" customWidth="1"/>
    <col min="5" max="5" width="16.640625" customWidth="1"/>
    <col min="6" max="6" width="18" customWidth="1"/>
    <col min="7" max="7" width="12.78515625" customWidth="1"/>
  </cols>
  <sheetData>
    <row r="1" spans="1:7" x14ac:dyDescent="0.35">
      <c r="A1" s="1" t="s">
        <v>1</v>
      </c>
      <c r="B1" s="1" t="s">
        <v>0</v>
      </c>
      <c r="C1" t="s">
        <v>3</v>
      </c>
      <c r="D1" t="s">
        <v>5</v>
      </c>
      <c r="E1" t="s">
        <v>6</v>
      </c>
      <c r="F1" t="s">
        <v>2</v>
      </c>
      <c r="G1" t="s">
        <v>4</v>
      </c>
    </row>
    <row r="2" spans="1:7" x14ac:dyDescent="0.35">
      <c r="A2">
        <v>12.7</v>
      </c>
      <c r="B2">
        <v>6</v>
      </c>
      <c r="C2">
        <f>A2*(2*PI())</f>
        <v>79.796453401180742</v>
      </c>
      <c r="D2">
        <f>B2/G2 * 1000</f>
        <v>30</v>
      </c>
      <c r="E2">
        <f>D2*C2</f>
        <v>2393.8936020354222</v>
      </c>
      <c r="F2">
        <v>2</v>
      </c>
      <c r="G2">
        <v>200</v>
      </c>
    </row>
    <row r="3" spans="1:7" x14ac:dyDescent="0.35">
      <c r="A3">
        <v>10.08</v>
      </c>
      <c r="B3">
        <v>7.36</v>
      </c>
      <c r="C3">
        <f t="shared" ref="C3:C7" si="0">A3*(2*PI())</f>
        <v>63.334507896370226</v>
      </c>
      <c r="D3">
        <f>B3/G3 * 1000</f>
        <v>36.799999999999997</v>
      </c>
      <c r="E3">
        <f t="shared" ref="E3:E7" si="1">D3*C3</f>
        <v>2330.7098905864241</v>
      </c>
      <c r="F3">
        <v>2</v>
      </c>
      <c r="G3">
        <v>200</v>
      </c>
    </row>
    <row r="4" spans="1:7" x14ac:dyDescent="0.35">
      <c r="A4">
        <v>16</v>
      </c>
      <c r="B4">
        <v>4.72</v>
      </c>
      <c r="C4">
        <f t="shared" si="0"/>
        <v>100.53096491487338</v>
      </c>
      <c r="D4">
        <f t="shared" ref="D3:D7" si="2">B4/G4 * 1000</f>
        <v>23.599999999999998</v>
      </c>
      <c r="E4">
        <f t="shared" si="1"/>
        <v>2372.5307719910115</v>
      </c>
      <c r="F4">
        <v>2</v>
      </c>
      <c r="G4">
        <v>200</v>
      </c>
    </row>
    <row r="5" spans="1:7" x14ac:dyDescent="0.35">
      <c r="A5">
        <v>32.01</v>
      </c>
      <c r="B5">
        <v>2.4</v>
      </c>
      <c r="C5">
        <f t="shared" si="0"/>
        <v>201.12476168281853</v>
      </c>
      <c r="D5">
        <f t="shared" si="2"/>
        <v>12</v>
      </c>
      <c r="E5">
        <f t="shared" si="1"/>
        <v>2413.4971401938224</v>
      </c>
      <c r="F5">
        <v>2</v>
      </c>
      <c r="G5">
        <v>200</v>
      </c>
    </row>
    <row r="6" spans="1:7" x14ac:dyDescent="0.35">
      <c r="A6">
        <v>20.13</v>
      </c>
      <c r="B6">
        <v>3.84</v>
      </c>
      <c r="C6">
        <f t="shared" si="0"/>
        <v>126.48052023352507</v>
      </c>
      <c r="D6">
        <f t="shared" si="2"/>
        <v>19.2</v>
      </c>
      <c r="E6">
        <f t="shared" si="1"/>
        <v>2428.4259884836811</v>
      </c>
      <c r="F6">
        <v>2</v>
      </c>
      <c r="G6">
        <v>200</v>
      </c>
    </row>
    <row r="7" spans="1:7" x14ac:dyDescent="0.35">
      <c r="A7">
        <v>40.270000000000003</v>
      </c>
      <c r="B7">
        <v>1.92</v>
      </c>
      <c r="C7">
        <f t="shared" si="0"/>
        <v>253.02387232012197</v>
      </c>
      <c r="D7">
        <f t="shared" si="2"/>
        <v>9.6</v>
      </c>
      <c r="E7">
        <f t="shared" si="1"/>
        <v>2429.0291742731706</v>
      </c>
      <c r="F7">
        <v>2</v>
      </c>
      <c r="G7">
        <v>200</v>
      </c>
    </row>
    <row r="8" spans="1:7" x14ac:dyDescent="0.35">
      <c r="E8">
        <f>AVERAGE(E2:E7)</f>
        <v>2394.6810945939219</v>
      </c>
      <c r="F8">
        <v>2</v>
      </c>
    </row>
    <row r="10" spans="1:7" x14ac:dyDescent="0.35">
      <c r="F10" t="s">
        <v>7</v>
      </c>
    </row>
    <row r="11" spans="1:7" x14ac:dyDescent="0.35">
      <c r="F11">
        <f>E8/F8</f>
        <v>1197.3405472969609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李昂</dc:creator>
  <cp:lastModifiedBy>昂 李</cp:lastModifiedBy>
  <dcterms:created xsi:type="dcterms:W3CDTF">2015-06-05T18:19:34Z</dcterms:created>
  <dcterms:modified xsi:type="dcterms:W3CDTF">2025-01-27T09:00:22Z</dcterms:modified>
</cp:coreProperties>
</file>